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  <sheet name="Survey Log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<sst xmlns="http://schemas.openxmlformats.org/spreadsheetml/2006/main" count="135" uniqueCount="115">
  <si>
    <t xml:space="preserve">💧  WATER TREATMENT — CLIENT REGISTRY</t>
  </si>
  <si>
    <t xml:space="preserve">Client ID</t>
  </si>
  <si>
    <t xml:space="preserve">Company Name</t>
  </si>
  <si>
    <t xml:space="preserve">Contact Person</t>
  </si>
  <si>
    <t xml:space="preserve">Phone</t>
  </si>
  <si>
    <t xml:space="preserve">Email</t>
  </si>
  <si>
    <t xml:space="preserve">Site Address</t>
  </si>
  <si>
    <t xml:space="preserve">System Type</t>
  </si>
  <si>
    <t xml:space="preserve">Total Gallons</t>
  </si>
  <si>
    <t xml:space="preserve">Status</t>
  </si>
  <si>
    <t xml:space="preserve">Last Visit</t>
  </si>
  <si>
    <t xml:space="preserve">Next Follow-up</t>
  </si>
  <si>
    <t xml:space="preserve">CLT-001</t>
  </si>
  <si>
    <t xml:space="preserve">Al-Nour Factory</t>
  </si>
  <si>
    <t xml:space="preserve">Ahmed Hassan</t>
  </si>
  <si>
    <t xml:space="preserve">010-1234-5678</t>
  </si>
  <si>
    <t xml:space="preserve">ahmed@alnour.com</t>
  </si>
  <si>
    <t xml:space="preserve">10 Industrial Zone, Cairo</t>
  </si>
  <si>
    <t xml:space="preserve">Cooling Tower</t>
  </si>
  <si>
    <t xml:space="preserve">Active</t>
  </si>
  <si>
    <t xml:space="preserve">2026-04-15</t>
  </si>
  <si>
    <t xml:space="preserve">2026-05-20</t>
  </si>
  <si>
    <t xml:space="preserve">CLT-002</t>
  </si>
  <si>
    <t xml:space="preserve">Blue Sky Hotels</t>
  </si>
  <si>
    <t xml:space="preserve">Sara Mahmoud</t>
  </si>
  <si>
    <t xml:space="preserve">012-9876-5432</t>
  </si>
  <si>
    <t xml:space="preserve">sara@bluesky.com</t>
  </si>
  <si>
    <t xml:space="preserve">Corniche Rd, Alexandria</t>
  </si>
  <si>
    <t xml:space="preserve">Boiler System</t>
  </si>
  <si>
    <t xml:space="preserve">2026-04-28</t>
  </si>
  <si>
    <t xml:space="preserve">2026-05-30</t>
  </si>
  <si>
    <t xml:space="preserve">CLT-003</t>
  </si>
  <si>
    <t xml:space="preserve">Delta Steel</t>
  </si>
  <si>
    <t xml:space="preserve">Karim Fathy</t>
  </si>
  <si>
    <t xml:space="preserve">011-5555-0000</t>
  </si>
  <si>
    <t xml:space="preserve">kfathy@deltasteel.com</t>
  </si>
  <si>
    <t xml:space="preserve">Suez Industrial</t>
  </si>
  <si>
    <t xml:space="preserve">Closed Loop</t>
  </si>
  <si>
    <t xml:space="preserve">Follow-up</t>
  </si>
  <si>
    <t xml:space="preserve">2026-03-10</t>
  </si>
  <si>
    <t xml:space="preserve">2026-05-18</t>
  </si>
  <si>
    <t xml:space="preserve">CLT-004</t>
  </si>
  <si>
    <t xml:space="preserve">Oasis Resort</t>
  </si>
  <si>
    <t xml:space="preserve">Nadia Aly</t>
  </si>
  <si>
    <t xml:space="preserve">010-2222-3333</t>
  </si>
  <si>
    <t xml:space="preserve">nadia@oasis.com</t>
  </si>
  <si>
    <t xml:space="preserve">Hurghada Tourist Zone</t>
  </si>
  <si>
    <t xml:space="preserve">Swimming Pool</t>
  </si>
  <si>
    <t xml:space="preserve">2026-05-01</t>
  </si>
  <si>
    <t xml:space="preserve">2026-06-01</t>
  </si>
  <si>
    <t xml:space="preserve">CLT-005</t>
  </si>
  <si>
    <t xml:space="preserve">Cairo Pharma</t>
  </si>
  <si>
    <t xml:space="preserve">Dr. Youssef</t>
  </si>
  <si>
    <t xml:space="preserve">010-8888-7777</t>
  </si>
  <si>
    <t xml:space="preserve">youssef@cairopharma.com</t>
  </si>
  <si>
    <t xml:space="preserve">6th October City</t>
  </si>
  <si>
    <t xml:space="preserve">RO System</t>
  </si>
  <si>
    <t xml:space="preserve">Inactive</t>
  </si>
  <si>
    <t xml:space="preserve">2026-02-20</t>
  </si>
  <si>
    <t xml:space="preserve">2026-05-25</t>
  </si>
  <si>
    <t xml:space="preserve">STATUS LEGEND:</t>
  </si>
  <si>
    <t xml:space="preserve">🧪  WATER QUALITY SURVEY &amp; FOLLOW-UP LOG</t>
  </si>
  <si>
    <t xml:space="preserve">SITE INFO</t>
  </si>
  <si>
    <t xml:space="preserve">PHYSICAL</t>
  </si>
  <si>
    <t xml:space="preserve">ALKALINITY</t>
  </si>
  <si>
    <t xml:space="preserve">HARDNESS</t>
  </si>
  <si>
    <t xml:space="preserve">IONS &amp; METALS</t>
  </si>
  <si>
    <t xml:space="preserve">ORGANICS</t>
  </si>
  <si>
    <t xml:space="preserve">TREATMENT</t>
  </si>
  <si>
    <t xml:space="preserve">MISC</t>
  </si>
  <si>
    <t xml:space="preserve">Survey ID</t>
  </si>
  <si>
    <t xml:space="preserve">Site Name</t>
  </si>
  <si>
    <t xml:space="preserve">Date</t>
  </si>
  <si>
    <t xml:space="preserve">Gallons</t>
  </si>
  <si>
    <t xml:space="preserve">pH</t>
  </si>
  <si>
    <t xml:space="preserve">TDS (ppm)</t>
  </si>
  <si>
    <t xml:space="preserve">Conductivity
(µS/cm)</t>
  </si>
  <si>
    <t xml:space="preserve">P-Alkalinity
(ppm)</t>
  </si>
  <si>
    <t xml:space="preserve">M-Alkalinity
(ppm)</t>
  </si>
  <si>
    <t xml:space="preserve">Total Hard.
(ppm)</t>
  </si>
  <si>
    <t xml:space="preserve">Calcium Hard.
(ppm)</t>
  </si>
  <si>
    <t xml:space="preserve">Chloride
(ppm)</t>
  </si>
  <si>
    <t xml:space="preserve">Iron
(ppm)</t>
  </si>
  <si>
    <t xml:space="preserve">Sulfite
(ppm)</t>
  </si>
  <si>
    <t xml:space="preserve">Phosphate
(ppm)</t>
  </si>
  <si>
    <t xml:space="preserve">Tannin
(ppm)</t>
  </si>
  <si>
    <t xml:space="preserve">OH-Alkalinity
(ppm)</t>
  </si>
  <si>
    <t xml:space="preserve">CHZ
(ppm)</t>
  </si>
  <si>
    <t xml:space="preserve">DEHA
(ppm)</t>
  </si>
  <si>
    <t xml:space="preserve">Silica
(ppm)</t>
  </si>
  <si>
    <t xml:space="preserve">Notes</t>
  </si>
  <si>
    <t xml:space="preserve">SRV-001</t>
  </si>
  <si>
    <t xml:space="preserve">12 ppm</t>
  </si>
  <si>
    <t xml:space="preserve">5 ppm</t>
  </si>
  <si>
    <t xml:space="preserve">Looks good. Slight pH drift.</t>
  </si>
  <si>
    <t xml:space="preserve">SRV-002</t>
  </si>
  <si>
    <t xml:space="preserve">8 ppm</t>
  </si>
  <si>
    <t xml:space="preserve">3 ppm</t>
  </si>
  <si>
    <t xml:space="preserve">Within range.</t>
  </si>
  <si>
    <t xml:space="preserve">SRV-003</t>
  </si>
  <si>
    <t xml:space="preserve">15 ppm</t>
  </si>
  <si>
    <t xml:space="preserve">7 ppm</t>
  </si>
  <si>
    <t xml:space="preserve">High hardness. Dosing increased.</t>
  </si>
  <si>
    <t xml:space="preserve">📊  DASHBOARD — WATER TREATMENT OVERVIEW</t>
  </si>
  <si>
    <t xml:space="preserve">Total Clients</t>
  </si>
  <si>
    <t xml:space="preserve">Active Sites</t>
  </si>
  <si>
    <t xml:space="preserve">Follow-up Required</t>
  </si>
  <si>
    <t xml:space="preserve">Total Surveys</t>
  </si>
  <si>
    <t xml:space="preserve">RECENT SURVEYS</t>
  </si>
  <si>
    <t xml:space="preserve">Client</t>
  </si>
  <si>
    <t xml:space="preserve">TDS</t>
  </si>
  <si>
    <t xml:space="preserve">M-Alkalinity</t>
  </si>
  <si>
    <t xml:space="preserve">Total Hard.</t>
  </si>
  <si>
    <t xml:space="preserve">Chloride</t>
  </si>
  <si>
    <t xml:space="preserve">Iron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</si>
</sst>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22"/>
      <color rgb="FF2E5090"/>
      <name val="Calibri"/>
      <family val="0"/>
      <charset val="1"/>
    </font>
    <font>
      <b val="true"/>
      <sz val="22"/>
      <color rgb="FF27AE60"/>
      <name val="Calibri"/>
      <family val="0"/>
      <charset val="1"/>
    </font>
    <font>
      <b val="true"/>
      <sz val="22"/>
      <color rgb="FFE67E22"/>
      <name val="Calibri"/>
      <family val="0"/>
      <charset val="1"/>
    </font>
    <font>
      <b val="true"/>
      <sz val="22"/>
      <color rgb="FFE74C3C"/>
      <name val="Calibri"/>
      <family val="0"/>
      <charset val="1"/>
    </font>
    <font>
      <b val="true"/>
      <sz val="22"/>
      <color rgb="FF00B4D8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333300"/>
      </patternFill>
    </fill>
    <fill>
      <patternFill patternType="solid">
        <fgColor rgb="FF2E5090"/>
        <bgColor rgb="FF27567A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27AE60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E74C3C"/>
        <bgColor rgb="FFE67E22"/>
      </patternFill>
    </fill>
    <fill>
      <patternFill patternType="solid">
        <fgColor rgb="FF1A5C7A"/>
        <bgColor rgb="FF27567A"/>
      </patternFill>
    </fill>
    <fill>
      <patternFill patternType="solid">
        <fgColor rgb="FF27567A"/>
        <bgColor rgb="FF1A5C7A"/>
      </patternFill>
    </fill>
    <fill>
      <patternFill patternType="solid">
        <fgColor rgb="FF00B4D8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5C7A"/>
      <rgbColor rgb="FFB0B8CC"/>
      <rgbColor rgb="FF808080"/>
      <rgbColor rgb="FF9999FF"/>
      <rgbColor rgb="FF993366"/>
      <rgbColor rgb="FFF2F4F7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27567A"/>
      <rgbColor rgb="FF27AE60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5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4" t="s">
        <v>13</v>
      </c>
      <c r="C3" s="4" t="s">
        <v>14</v>
      </c>
      <c r="D3" s="3" t="s">
        <v>15</v>
      </c>
      <c r="E3" s="4" t="s">
        <v>16</v>
      </c>
      <c r="F3" s="4" t="s">
        <v>17</v>
      </c>
      <c r="G3" s="3" t="s">
        <v>18</v>
      </c>
      <c r="H3" s="3" t="n">
        <v>50000</v>
      </c>
      <c r="I3" s="3" t="s">
        <v>19</v>
      </c>
      <c r="J3" s="3" t="s">
        <v>20</v>
      </c>
      <c r="K3" s="3" t="s">
        <v>21</v>
      </c>
    </row>
    <row r="4" customFormat="false" ht="15" hidden="false" customHeight="false" outlineLevel="0" collapsed="false">
      <c r="A4" s="5" t="s">
        <v>22</v>
      </c>
      <c r="B4" s="6" t="s">
        <v>23</v>
      </c>
      <c r="C4" s="6" t="s">
        <v>24</v>
      </c>
      <c r="D4" s="5" t="s">
        <v>25</v>
      </c>
      <c r="E4" s="6" t="s">
        <v>26</v>
      </c>
      <c r="F4" s="6" t="s">
        <v>27</v>
      </c>
      <c r="G4" s="5" t="s">
        <v>28</v>
      </c>
      <c r="H4" s="5" t="n">
        <v>15000</v>
      </c>
      <c r="I4" s="5" t="s">
        <v>19</v>
      </c>
      <c r="J4" s="5" t="s">
        <v>29</v>
      </c>
      <c r="K4" s="5" t="s">
        <v>30</v>
      </c>
    </row>
    <row r="5" customFormat="false" ht="15" hidden="false" customHeight="false" outlineLevel="0" collapsed="false">
      <c r="A5" s="3" t="s">
        <v>31</v>
      </c>
      <c r="B5" s="4" t="s">
        <v>32</v>
      </c>
      <c r="C5" s="4" t="s">
        <v>33</v>
      </c>
      <c r="D5" s="3" t="s">
        <v>34</v>
      </c>
      <c r="E5" s="4" t="s">
        <v>35</v>
      </c>
      <c r="F5" s="4" t="s">
        <v>36</v>
      </c>
      <c r="G5" s="3" t="s">
        <v>37</v>
      </c>
      <c r="H5" s="3" t="n">
        <v>80000</v>
      </c>
      <c r="I5" s="3" t="s">
        <v>38</v>
      </c>
      <c r="J5" s="3" t="s">
        <v>39</v>
      </c>
      <c r="K5" s="3" t="s">
        <v>40</v>
      </c>
    </row>
    <row r="6" customFormat="false" ht="15" hidden="false" customHeight="false" outlineLevel="0" collapsed="false">
      <c r="A6" s="5" t="s">
        <v>41</v>
      </c>
      <c r="B6" s="6" t="s">
        <v>42</v>
      </c>
      <c r="C6" s="6" t="s">
        <v>43</v>
      </c>
      <c r="D6" s="5" t="s">
        <v>44</v>
      </c>
      <c r="E6" s="6" t="s">
        <v>45</v>
      </c>
      <c r="F6" s="6" t="s">
        <v>46</v>
      </c>
      <c r="G6" s="5" t="s">
        <v>47</v>
      </c>
      <c r="H6" s="5" t="n">
        <v>12000</v>
      </c>
      <c r="I6" s="5" t="s">
        <v>19</v>
      </c>
      <c r="J6" s="5" t="s">
        <v>48</v>
      </c>
      <c r="K6" s="5" t="s">
        <v>49</v>
      </c>
    </row>
    <row r="7" customFormat="false" ht="15" hidden="false" customHeight="false" outlineLevel="0" collapsed="false">
      <c r="A7" s="3" t="s">
        <v>50</v>
      </c>
      <c r="B7" s="4" t="s">
        <v>51</v>
      </c>
      <c r="C7" s="4" t="s">
        <v>52</v>
      </c>
      <c r="D7" s="3" t="s">
        <v>53</v>
      </c>
      <c r="E7" s="4" t="s">
        <v>54</v>
      </c>
      <c r="F7" s="4" t="s">
        <v>55</v>
      </c>
      <c r="G7" s="3" t="s">
        <v>56</v>
      </c>
      <c r="H7" s="3" t="n">
        <v>8000</v>
      </c>
      <c r="I7" s="3" t="s">
        <v>57</v>
      </c>
      <c r="J7" s="3" t="s">
        <v>58</v>
      </c>
      <c r="K7" s="3" t="s">
        <v>59</v>
      </c>
    </row>
    <row r="9" customFormat="false" ht="15" hidden="false" customHeight="false" outlineLevel="0" collapsed="false">
      <c r="A9" s="7" t="s">
        <v>60</v>
      </c>
      <c r="B9" s="7"/>
      <c r="C9" s="8" t="s">
        <v>19</v>
      </c>
      <c r="D9" s="9" t="s">
        <v>38</v>
      </c>
      <c r="E9" s="10" t="s">
        <v>57</v>
      </c>
    </row>
  </sheetData>
  <mergeCells count="2">
    <mergeCell ref="A1:K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12" min="8" style="0" width="13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20" min="19" style="0" width="9"/>
    <col collapsed="false" customWidth="true" hidden="false" outlineLevel="0" max="21" min="21" style="0" width="10"/>
    <col collapsed="false" customWidth="true" hidden="false" outlineLevel="0" max="22" min="22" style="0" width="22"/>
  </cols>
  <sheetData>
    <row r="1" customFormat="false" ht="39.75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8" hidden="false" customHeight="true" outlineLevel="0" collapsed="false">
      <c r="A2" s="11" t="s">
        <v>62</v>
      </c>
      <c r="B2" s="11"/>
      <c r="C2" s="11"/>
      <c r="D2" s="11"/>
      <c r="E2" s="11"/>
      <c r="F2" s="12" t="s">
        <v>63</v>
      </c>
      <c r="G2" s="12"/>
      <c r="H2" s="12" t="s">
        <v>64</v>
      </c>
      <c r="I2" s="12"/>
      <c r="J2" s="12"/>
      <c r="K2" s="12" t="s">
        <v>65</v>
      </c>
      <c r="L2" s="12"/>
      <c r="M2" s="12" t="s">
        <v>66</v>
      </c>
      <c r="N2" s="12"/>
      <c r="O2" s="12"/>
      <c r="P2" s="12" t="s">
        <v>67</v>
      </c>
      <c r="Q2" s="12"/>
      <c r="R2" s="12"/>
      <c r="S2" s="13" t="s">
        <v>68</v>
      </c>
      <c r="T2" s="13"/>
      <c r="U2" s="13" t="s">
        <v>69</v>
      </c>
      <c r="V2" s="13"/>
    </row>
    <row r="3" customFormat="false" ht="34.5" hidden="false" customHeight="true" outlineLevel="0" collapsed="false">
      <c r="A3" s="14" t="s">
        <v>70</v>
      </c>
      <c r="B3" s="14" t="s">
        <v>1</v>
      </c>
      <c r="C3" s="14" t="s">
        <v>71</v>
      </c>
      <c r="D3" s="14" t="s">
        <v>72</v>
      </c>
      <c r="E3" s="14" t="s">
        <v>73</v>
      </c>
      <c r="F3" s="15" t="s">
        <v>74</v>
      </c>
      <c r="G3" s="15" t="s">
        <v>75</v>
      </c>
      <c r="H3" s="15" t="s">
        <v>76</v>
      </c>
      <c r="I3" s="15" t="s">
        <v>77</v>
      </c>
      <c r="J3" s="15" t="s">
        <v>78</v>
      </c>
      <c r="K3" s="15" t="s">
        <v>79</v>
      </c>
      <c r="L3" s="15" t="s">
        <v>80</v>
      </c>
      <c r="M3" s="15" t="s">
        <v>81</v>
      </c>
      <c r="N3" s="15" t="s">
        <v>82</v>
      </c>
      <c r="O3" s="15" t="s">
        <v>83</v>
      </c>
      <c r="P3" s="15" t="s">
        <v>84</v>
      </c>
      <c r="Q3" s="15" t="s">
        <v>85</v>
      </c>
      <c r="R3" s="15" t="s">
        <v>86</v>
      </c>
      <c r="S3" s="15" t="s">
        <v>87</v>
      </c>
      <c r="T3" s="15" t="s">
        <v>88</v>
      </c>
      <c r="U3" s="15" t="s">
        <v>89</v>
      </c>
      <c r="V3" s="14" t="s">
        <v>90</v>
      </c>
    </row>
    <row r="4" customFormat="false" ht="15" hidden="false" customHeight="false" outlineLevel="0" collapsed="false">
      <c r="A4" s="16" t="s">
        <v>91</v>
      </c>
      <c r="B4" s="16" t="s">
        <v>12</v>
      </c>
      <c r="C4" s="16" t="s">
        <v>13</v>
      </c>
      <c r="D4" s="16" t="s">
        <v>20</v>
      </c>
      <c r="E4" s="16" t="n">
        <v>50000</v>
      </c>
      <c r="F4" s="16" t="n">
        <v>7.2</v>
      </c>
      <c r="G4" s="16" t="n">
        <v>320</v>
      </c>
      <c r="H4" s="16" t="n">
        <v>680</v>
      </c>
      <c r="I4" s="16" t="n">
        <v>45</v>
      </c>
      <c r="J4" s="16" t="n">
        <v>180</v>
      </c>
      <c r="K4" s="16" t="n">
        <v>250</v>
      </c>
      <c r="L4" s="16" t="n">
        <v>95</v>
      </c>
      <c r="M4" s="16" t="n">
        <v>85</v>
      </c>
      <c r="N4" s="16" t="n">
        <v>0.3</v>
      </c>
      <c r="O4" s="16" t="n">
        <v>12</v>
      </c>
      <c r="P4" s="16" t="n">
        <v>3.5</v>
      </c>
      <c r="Q4" s="16" t="n">
        <v>0.2</v>
      </c>
      <c r="R4" s="16" t="n">
        <v>0</v>
      </c>
      <c r="S4" s="16" t="s">
        <v>92</v>
      </c>
      <c r="T4" s="16" t="s">
        <v>93</v>
      </c>
      <c r="U4" s="16" t="n">
        <v>18</v>
      </c>
      <c r="V4" s="17" t="s">
        <v>94</v>
      </c>
    </row>
    <row r="5" customFormat="false" ht="15" hidden="false" customHeight="false" outlineLevel="0" collapsed="false">
      <c r="A5" s="18" t="s">
        <v>95</v>
      </c>
      <c r="B5" s="18" t="s">
        <v>22</v>
      </c>
      <c r="C5" s="18" t="s">
        <v>23</v>
      </c>
      <c r="D5" s="18" t="s">
        <v>29</v>
      </c>
      <c r="E5" s="18" t="n">
        <v>15000</v>
      </c>
      <c r="F5" s="18" t="n">
        <v>7.8</v>
      </c>
      <c r="G5" s="18" t="n">
        <v>210</v>
      </c>
      <c r="H5" s="18" t="n">
        <v>450</v>
      </c>
      <c r="I5" s="18" t="n">
        <v>30</v>
      </c>
      <c r="J5" s="18" t="n">
        <v>120</v>
      </c>
      <c r="K5" s="18" t="n">
        <v>180</v>
      </c>
      <c r="L5" s="18" t="n">
        <v>70</v>
      </c>
      <c r="M5" s="18" t="n">
        <v>60</v>
      </c>
      <c r="N5" s="18" t="n">
        <v>0.1</v>
      </c>
      <c r="O5" s="18" t="n">
        <v>8</v>
      </c>
      <c r="P5" s="18" t="n">
        <v>2.1</v>
      </c>
      <c r="Q5" s="18" t="n">
        <v>0.1</v>
      </c>
      <c r="R5" s="18" t="n">
        <v>0</v>
      </c>
      <c r="S5" s="18" t="s">
        <v>96</v>
      </c>
      <c r="T5" s="18" t="s">
        <v>97</v>
      </c>
      <c r="U5" s="18" t="n">
        <v>12</v>
      </c>
      <c r="V5" s="19" t="s">
        <v>98</v>
      </c>
    </row>
    <row r="6" customFormat="false" ht="22.35" hidden="false" customHeight="false" outlineLevel="0" collapsed="false">
      <c r="A6" s="16" t="s">
        <v>99</v>
      </c>
      <c r="B6" s="16" t="s">
        <v>31</v>
      </c>
      <c r="C6" s="16" t="s">
        <v>32</v>
      </c>
      <c r="D6" s="16" t="s">
        <v>39</v>
      </c>
      <c r="E6" s="16" t="n">
        <v>80000</v>
      </c>
      <c r="F6" s="16" t="n">
        <v>6.9</v>
      </c>
      <c r="G6" s="16" t="n">
        <v>410</v>
      </c>
      <c r="H6" s="16" t="n">
        <v>890</v>
      </c>
      <c r="I6" s="16" t="n">
        <v>55</v>
      </c>
      <c r="J6" s="16" t="n">
        <v>220</v>
      </c>
      <c r="K6" s="16" t="n">
        <v>310</v>
      </c>
      <c r="L6" s="16" t="n">
        <v>120</v>
      </c>
      <c r="M6" s="16" t="n">
        <v>110</v>
      </c>
      <c r="N6" s="16" t="n">
        <v>0.5</v>
      </c>
      <c r="O6" s="16" t="n">
        <v>15</v>
      </c>
      <c r="P6" s="16" t="n">
        <v>5</v>
      </c>
      <c r="Q6" s="16" t="n">
        <v>0.4</v>
      </c>
      <c r="R6" s="16" t="n">
        <v>0</v>
      </c>
      <c r="S6" s="16" t="s">
        <v>100</v>
      </c>
      <c r="T6" s="16" t="s">
        <v>101</v>
      </c>
      <c r="U6" s="16" t="n">
        <v>25</v>
      </c>
      <c r="V6" s="17" t="s">
        <v>102</v>
      </c>
    </row>
  </sheetData>
  <mergeCells count="9">
    <mergeCell ref="A1:V1"/>
    <mergeCell ref="A2:E2"/>
    <mergeCell ref="F2:G2"/>
    <mergeCell ref="H2:J2"/>
    <mergeCell ref="K2:L2"/>
    <mergeCell ref="M2:O2"/>
    <mergeCell ref="P2:R2"/>
    <mergeCell ref="S2:T2"/>
    <mergeCell ref="U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39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8" hidden="false" customHeight="true" outlineLevel="0" collapsed="false">
      <c r="A3" s="11" t="s">
        <v>104</v>
      </c>
      <c r="B3" s="11"/>
      <c r="C3" s="20" t="s">
        <v>105</v>
      </c>
      <c r="D3" s="20"/>
      <c r="E3" s="21" t="s">
        <v>106</v>
      </c>
      <c r="F3" s="21"/>
      <c r="G3" s="22" t="s">
        <v>57</v>
      </c>
      <c r="H3" s="22"/>
      <c r="I3" s="23" t="s">
        <v>107</v>
      </c>
      <c r="J3" s="23"/>
    </row>
    <row r="4" customFormat="false" ht="39.75" hidden="false" customHeight="true" outlineLevel="0" collapsed="false">
      <c r="A4" s="24" t="n">
        <f aca="false">COUNTA(Clients!A3:A100)-1</f>
        <v>5</v>
      </c>
      <c r="B4" s="24"/>
      <c r="C4" s="25" t="n">
        <f aca="false">COUNTIF(Clients!I3:I100,"Active")</f>
        <v>3</v>
      </c>
      <c r="D4" s="25"/>
      <c r="E4" s="26" t="n">
        <f aca="false">COUNTIF(Clients!I3:I100,"Follow-up")</f>
        <v>1</v>
      </c>
      <c r="F4" s="26"/>
      <c r="G4" s="27" t="n">
        <f aca="false">COUNTIF(Clients!I3:I100,"Inactive")</f>
        <v>1</v>
      </c>
      <c r="H4" s="27"/>
      <c r="I4" s="28" t="n">
        <f aca="false">COUNTA('Survey Log'!A4:A1000)</f>
        <v>3</v>
      </c>
      <c r="J4" s="28"/>
    </row>
    <row r="5" customFormat="false" ht="18" hidden="false" customHeight="true" outlineLevel="0" collapsed="false">
      <c r="A5" s="29"/>
      <c r="B5" s="29"/>
      <c r="C5" s="30"/>
      <c r="D5" s="30"/>
      <c r="E5" s="31"/>
      <c r="F5" s="31"/>
      <c r="G5" s="32"/>
      <c r="H5" s="32"/>
      <c r="I5" s="33"/>
      <c r="J5" s="33"/>
    </row>
    <row r="7" customFormat="false" ht="21.75" hidden="false" customHeight="true" outlineLevel="0" collapsed="false">
      <c r="A7" s="34" t="s">
        <v>108</v>
      </c>
      <c r="B7" s="34"/>
      <c r="C7" s="34"/>
      <c r="D7" s="34"/>
      <c r="E7" s="34"/>
      <c r="F7" s="34"/>
      <c r="G7" s="34"/>
      <c r="H7" s="34"/>
      <c r="I7" s="34"/>
      <c r="J7" s="34"/>
    </row>
    <row r="8" customFormat="false" ht="15" hidden="false" customHeight="false" outlineLevel="0" collapsed="false">
      <c r="A8" s="35" t="s">
        <v>70</v>
      </c>
      <c r="B8" s="35" t="s">
        <v>109</v>
      </c>
      <c r="C8" s="35" t="s">
        <v>72</v>
      </c>
      <c r="D8" s="35" t="s">
        <v>74</v>
      </c>
      <c r="E8" s="35" t="s">
        <v>110</v>
      </c>
      <c r="F8" s="35" t="s">
        <v>111</v>
      </c>
      <c r="G8" s="35" t="s">
        <v>112</v>
      </c>
      <c r="H8" s="35" t="s">
        <v>113</v>
      </c>
      <c r="I8" s="35" t="s">
        <v>114</v>
      </c>
      <c r="J8" s="35" t="s">
        <v>90</v>
      </c>
    </row>
    <row r="9" customFormat="false" ht="22.35" hidden="false" customHeight="false" outlineLevel="0" collapsed="false">
      <c r="A9" s="16" t="str">
        <f aca="false">'Survey Log'!A4</f>
        <v>SRV-001</v>
      </c>
      <c r="B9" s="16" t="str">
        <f aca="false">'Survey Log'!C4</f>
        <v>Al-Nour Factory</v>
      </c>
      <c r="C9" s="16" t="str">
        <f aca="false">'Survey Log'!D4</f>
        <v>2026-04-15</v>
      </c>
      <c r="D9" s="16" t="n">
        <f aca="false">'Survey Log'!F4</f>
        <v>7.2</v>
      </c>
      <c r="E9" s="16" t="n">
        <f aca="false">'Survey Log'!G4</f>
        <v>320</v>
      </c>
      <c r="F9" s="16" t="n">
        <f aca="false">'Survey Log'!J4</f>
        <v>180</v>
      </c>
      <c r="G9" s="16" t="n">
        <f aca="false">'Survey Log'!K4</f>
        <v>250</v>
      </c>
      <c r="H9" s="16" t="n">
        <f aca="false">'Survey Log'!M4</f>
        <v>85</v>
      </c>
      <c r="I9" s="16" t="n">
        <f aca="false">'Survey Log'!N4</f>
        <v>0.3</v>
      </c>
      <c r="J9" s="17" t="str">
        <f aca="false">'Survey Log'!V4</f>
        <v>Looks good. Slight pH drift.</v>
      </c>
    </row>
    <row r="10" customFormat="false" ht="15" hidden="false" customHeight="false" outlineLevel="0" collapsed="false">
      <c r="A10" s="18" t="str">
        <f aca="false">'Survey Log'!A5</f>
        <v>SRV-002</v>
      </c>
      <c r="B10" s="18" t="str">
        <f aca="false">'Survey Log'!C5</f>
        <v>Blue Sky Hotels</v>
      </c>
      <c r="C10" s="18" t="str">
        <f aca="false">'Survey Log'!D5</f>
        <v>2026-04-28</v>
      </c>
      <c r="D10" s="18" t="n">
        <f aca="false">'Survey Log'!F5</f>
        <v>7.8</v>
      </c>
      <c r="E10" s="18" t="n">
        <f aca="false">'Survey Log'!G5</f>
        <v>210</v>
      </c>
      <c r="F10" s="18" t="n">
        <f aca="false">'Survey Log'!J5</f>
        <v>120</v>
      </c>
      <c r="G10" s="18" t="n">
        <f aca="false">'Survey Log'!K5</f>
        <v>180</v>
      </c>
      <c r="H10" s="18" t="n">
        <f aca="false">'Survey Log'!M5</f>
        <v>60</v>
      </c>
      <c r="I10" s="18" t="n">
        <f aca="false">'Survey Log'!N5</f>
        <v>0.1</v>
      </c>
      <c r="J10" s="19" t="str">
        <f aca="false">'Survey Log'!V5</f>
        <v>Within range.</v>
      </c>
    </row>
    <row r="11" customFormat="false" ht="22.35" hidden="false" customHeight="false" outlineLevel="0" collapsed="false">
      <c r="A11" s="16" t="str">
        <f aca="false">'Survey Log'!A6</f>
        <v>SRV-003</v>
      </c>
      <c r="B11" s="16" t="str">
        <f aca="false">'Survey Log'!C6</f>
        <v>Delta Steel</v>
      </c>
      <c r="C11" s="16" t="str">
        <f aca="false">'Survey Log'!D6</f>
        <v>2026-03-10</v>
      </c>
      <c r="D11" s="16" t="n">
        <f aca="false">'Survey Log'!F6</f>
        <v>6.9</v>
      </c>
      <c r="E11" s="16" t="n">
        <f aca="false">'Survey Log'!G6</f>
        <v>410</v>
      </c>
      <c r="F11" s="16" t="n">
        <f aca="false">'Survey Log'!J6</f>
        <v>220</v>
      </c>
      <c r="G11" s="16" t="n">
        <f aca="false">'Survey Log'!K6</f>
        <v>310</v>
      </c>
      <c r="H11" s="16" t="n">
        <f aca="false">'Survey Log'!M6</f>
        <v>110</v>
      </c>
      <c r="I11" s="16" t="n">
        <f aca="false">'Survey Log'!N6</f>
        <v>0.5</v>
      </c>
      <c r="J11" s="17" t="str">
        <f aca="false">'Survey Log'!V6</f>
        <v>High hardness. Dosing increased.</v>
      </c>
    </row>
    <row r="12" customFormat="false" ht="15" hidden="false" customHeight="false" outlineLevel="0" collapsed="false">
      <c r="A12" s="18" t="n">
        <f aca="false">'Survey Log'!A7</f>
        <v>0</v>
      </c>
      <c r="B12" s="18" t="n">
        <f aca="false">'Survey Log'!C7</f>
        <v>0</v>
      </c>
      <c r="C12" s="18" t="n">
        <f aca="false">'Survey Log'!D7</f>
        <v>0</v>
      </c>
      <c r="D12" s="18" t="n">
        <f aca="false">'Survey Log'!F7</f>
        <v>0</v>
      </c>
      <c r="E12" s="18" t="n">
        <f aca="false">'Survey Log'!G7</f>
        <v>0</v>
      </c>
      <c r="F12" s="18" t="n">
        <f aca="false">'Survey Log'!J7</f>
        <v>0</v>
      </c>
      <c r="G12" s="18" t="n">
        <f aca="false">'Survey Log'!K7</f>
        <v>0</v>
      </c>
      <c r="H12" s="18" t="n">
        <f aca="false">'Survey Log'!M7</f>
        <v>0</v>
      </c>
      <c r="I12" s="18" t="n">
        <f aca="false">'Survey Log'!N7</f>
        <v>0</v>
      </c>
      <c r="J12" s="19" t="n">
        <f aca="false">'Survey Log'!V7</f>
        <v>0</v>
      </c>
    </row>
    <row r="13" customFormat="false" ht="15" hidden="false" customHeight="false" outlineLevel="0" collapsed="false">
      <c r="A13" s="16" t="n">
        <f aca="false">'Survey Log'!A8</f>
        <v>0</v>
      </c>
      <c r="B13" s="16" t="n">
        <f aca="false">'Survey Log'!C8</f>
        <v>0</v>
      </c>
      <c r="C13" s="16" t="n">
        <f aca="false">'Survey Log'!D8</f>
        <v>0</v>
      </c>
      <c r="D13" s="16" t="n">
        <f aca="false">'Survey Log'!F8</f>
        <v>0</v>
      </c>
      <c r="E13" s="16" t="n">
        <f aca="false">'Survey Log'!G8</f>
        <v>0</v>
      </c>
      <c r="F13" s="16" t="n">
        <f aca="false">'Survey Log'!J8</f>
        <v>0</v>
      </c>
      <c r="G13" s="16" t="n">
        <f aca="false">'Survey Log'!K8</f>
        <v>0</v>
      </c>
      <c r="H13" s="16" t="n">
        <f aca="false">'Survey Log'!M8</f>
        <v>0</v>
      </c>
      <c r="I13" s="16" t="n">
        <f aca="false">'Survey Log'!N8</f>
        <v>0</v>
      </c>
      <c r="J13" s="17" t="n">
        <f aca="false">'Survey Log'!V8</f>
        <v>0</v>
      </c>
    </row>
  </sheetData>
  <mergeCells count="17">
    <mergeCell ref="A1:J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2026-05-16T02:20:02Z</dcterms:created>
  <dc:creator>openpyxl</dc:creator>
  <dc:description/>
  <dc:language>en-US</dc:language>
  <cp:lastModifiedBy/>
  <dcterms:modified xsi:type="dcterms:W3CDTF">2026-05-16T02:20:02Z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